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_Melvin\Users_locals\Partages\Melvin_Ecole\Documents\Sup de Vinci\M2\Management de la securite\livrables-E21\"/>
    </mc:Choice>
  </mc:AlternateContent>
  <xr:revisionPtr revIDLastSave="0" documentId="13_ncr:1_{5906B1CE-0A53-4529-99B4-B6B83C3BCB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alyse de référence" sheetId="1" r:id="rId1"/>
    <sheet name="Comparaison avec les agents" sheetId="2" r:id="rId2"/>
    <sheet name="Matrice et bilan" sheetId="3" r:id="rId3"/>
  </sheets>
  <definedNames>
    <definedName name="_xlnm._FilterDatabase" localSheetId="0" hidden="1">'Analyse de référence'!$A$4:$K$34</definedName>
    <definedName name="_xlnm._FilterDatabase" localSheetId="1" hidden="1">'Comparaison avec les agents'!$A$4:$H$34</definedName>
    <definedName name="_xlnm.Print_Titles" localSheetId="0">'Analyse de référence'!$4:$4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<sst xmlns="http://schemas.openxmlformats.org/spreadsheetml/2006/main" count="623" uniqueCount="320">
  <si>
    <t>Analyse de risques de référence — cas SanteTech (12 cliniques, siège à Rennes)</t>
  </si>
  <si>
    <t>Méthode : liste de risques classiques (sinistres, continuité, cyberattaque, réseau, données, IoT, cloud, humain) appliquée aux faits du cas. Niveau = matrice du sujet (feuille « Matrice et bilan »), calculé à partir de la probabilité et de l'impact : modifiez-les et le niveau suit. La colonne Source cite la mesure de la norme ISO/IEC 27002:2022.</t>
  </si>
  <si>
    <t>N°</t>
  </si>
  <si>
    <t>Groupe</t>
  </si>
  <si>
    <t>Actif</t>
  </si>
  <si>
    <t>Menace (risque)</t>
  </si>
  <si>
    <t>Catégorie</t>
  </si>
  <si>
    <t>Probabilité</t>
  </si>
  <si>
    <t>Impact</t>
  </si>
  <si>
    <t>Niveau</t>
  </si>
  <si>
    <t>Traitement</t>
  </si>
  <si>
    <t>Mesure proposée</t>
  </si>
  <si>
    <t>Source</t>
  </si>
  <si>
    <t>MR-01</t>
  </si>
  <si>
    <t>A. Sinistres physiques et environnement</t>
  </si>
  <si>
    <t>Salle serveurs du siège (Rennes) : ferme Citrix/RDS, DPI Nexus, AD</t>
  </si>
  <si>
    <t>Incendie de la salle serveurs du siège : perte simultanée du DPI, de l'annuaire et de la ferme Citrix/RDS</t>
  </si>
  <si>
    <t>Sinistre (disponibilité)</t>
  </si>
  <si>
    <t>Faible</t>
  </si>
  <si>
    <t>Élevé</t>
  </si>
  <si>
    <t>Réduire</t>
  </si>
  <si>
    <t>Détection et extinction automatiques adaptées aux salles IT ; copie des données et site de secours hors du bâtiment</t>
  </si>
  <si>
    <t>ISO27002-7.5</t>
  </si>
  <si>
    <t>MR-02</t>
  </si>
  <si>
    <t>Locaux techniques du siège et des cliniques</t>
  </si>
  <si>
    <t>Inondation ou dégât des eaux d'un local technique (baies, onduleurs, répartiteurs réseau)</t>
  </si>
  <si>
    <t>Salles hors zone inondable ou surélevées, détection d'eau, procédure d'arrêt contrôlé, équipement de secours</t>
  </si>
  <si>
    <t>MR-03</t>
  </si>
  <si>
    <t>Alimentation électrique du siège et des 12 cliniques</t>
  </si>
  <si>
    <t>Coupure électrique prolongée ou onduleurs défaillants : arrêt des serveurs et des équipements réseau</t>
  </si>
  <si>
    <t>Panne d'infrastructure (disponibilité)</t>
  </si>
  <si>
    <t>Moyenne</t>
  </si>
  <si>
    <t>Onduleurs entretenus, groupe électrogène testé périodiquement, extinction ordonnée des systèmes</t>
  </si>
  <si>
    <t>ISO27002-7.11</t>
  </si>
  <si>
    <t>MR-04</t>
  </si>
  <si>
    <t>Locaux techniques, postes et supports des cliniques</t>
  </si>
  <si>
    <t>Intrusion ou vol de matériel dans un local technique ou d'un poste contenant des données patients</t>
  </si>
  <si>
    <t>Accès physique (confidentialité)</t>
  </si>
  <si>
    <t>Moyen</t>
  </si>
  <si>
    <t>Contrôle d'accès et journal des entrées, chiffrement des disques, verrouillage des locaux techniques</t>
  </si>
  <si>
    <t>ISO27002-7.2</t>
  </si>
  <si>
    <t>MR-05</t>
  </si>
  <si>
    <t>B. Continuité et disponibilité</t>
  </si>
  <si>
    <t>Réseau MPLS en étoile : le siège est le centre de toutes les cliniques</t>
  </si>
  <si>
    <t>Indisponibilité du site central : tout le trafic des 12 cliniques transite par le siège ; une panne du siège paralyse l'ensemble</t>
  </si>
  <si>
    <t>Disponibilité (STRIDE-D)</t>
  </si>
  <si>
    <t>Lien et équipements redondants, second point d'accès, cliniques capables de fonctionner en mode dégradé</t>
  </si>
  <si>
    <t>ISO27002-8.14</t>
  </si>
  <si>
    <t>MR-06</t>
  </si>
  <si>
    <t>Lien opérateur d'une clinique</t>
  </si>
  <si>
    <t>Perte du lien MPLS d'une clinique : site isolé du système d'information central</t>
  </si>
  <si>
    <t>Second lien (4G/5G ou opérateur différent), mode dégradé local documenté</t>
  </si>
  <si>
    <t>MR-07</t>
  </si>
  <si>
    <t>Ensemble du système d'information (aucun site de secours documenté)</t>
  </si>
  <si>
    <t>Absence de plan de reprise d'activité éprouvé et de site secondaire : en cas de sinistre majeur, reprise longue et incertaine</t>
  </si>
  <si>
    <t>Continuité (disponibilité)</t>
  </si>
  <si>
    <t>Plan de reprise d'activité avec objectifs de reprise, site secondaire, test annuel ; point à vérifier : non documenté dans les pièces</t>
  </si>
  <si>
    <t>ISO27002-5.30</t>
  </si>
  <si>
    <t>MR-08</t>
  </si>
  <si>
    <t>Sauvegardes du DPI, de l'annuaire et des serveurs</t>
  </si>
  <si>
    <t>Sauvegardes absentes, non testées ou stockées au même endroit : perte de données lors d'un sinistre ou d'un rançongiciel</t>
  </si>
  <si>
    <t>Intégrité et disponibilité (STRIDE-T/D)</t>
  </si>
  <si>
    <t>Règle 3-2-1 avec copie hors ligne et immuable, test de restauration régulier ; point à vérifier : non documenté</t>
  </si>
  <si>
    <t>ISO27002-8.13</t>
  </si>
  <si>
    <t>MR-09</t>
  </si>
  <si>
    <t>Baies SAN vieillissantes du PACS/RIS</t>
  </si>
  <si>
    <t>Défaillance du stockage vieillissant : perte ou indisponibilité des images médicales</t>
  </si>
  <si>
    <t>Renouvellement planifié, réplication des images, surveillance de l'état des disques</t>
  </si>
  <si>
    <t>MR-10</t>
  </si>
  <si>
    <t>Serveurs et systèmes en fin de support (ESXi 6.5, Windows Server 2012 R2)</t>
  </si>
  <si>
    <t>Panne ou compromission sans correctif possible d'un système en fin de support</t>
  </si>
  <si>
    <t>Obsolescence (disponibilité / vulnérabilités)</t>
  </si>
  <si>
    <t>Élevée</t>
  </si>
  <si>
    <t>Inventaire des versions, plan de migration daté, isolation des systèmes non migrables</t>
  </si>
  <si>
    <t>ISO27002-8.8</t>
  </si>
  <si>
    <t>MR-11</t>
  </si>
  <si>
    <t>C. Cyberattaques : identités, exposition, détection</t>
  </si>
  <si>
    <t>Annuaire Active Directory (forêt unique, 16 contrôleurs de domaine)</t>
  </si>
  <si>
    <t>Rançongiciel qui chiffre l'annuaire et les serveurs en se propageant dans un réseau peu cloisonné</t>
  </si>
  <si>
    <t>Altération et disponibilité (STRIDE-T/D)</t>
  </si>
  <si>
    <t>Segmentation, sauvegardes immuables, EDR, comptes administrateurs séparés, exercice de crise cyber</t>
  </si>
  <si>
    <t>ISO27002-8.7</t>
  </si>
  <si>
    <t>MR-12</t>
  </si>
  <si>
    <t>Comptes d'administration de l'annuaire</t>
  </si>
  <si>
    <t>Compromission d'un compte administrateur de domaine et élévation de privilèges sur toute la forêt</t>
  </si>
  <si>
    <t>Élévation de privilèges (STRIDE-E)</t>
  </si>
  <si>
    <t>Comptes d'administration dédiés et protégés (MFA, postes d'administration), modèle de niveaux, revue des droits</t>
  </si>
  <si>
    <t>ISO27002-8.2</t>
  </si>
  <si>
    <t>MR-13</t>
  </si>
  <si>
    <t>Portail VPN FortiGate (MFA absente sur une partie des comptes)</t>
  </si>
  <si>
    <t>Accès au VPN par vol ou bourrage d'identifiants : entrée directe dans le réseau interne</t>
  </si>
  <si>
    <t>Usurpation d'identité (STRIDE-S)</t>
  </si>
  <si>
    <t>MFA obligatoire pour tous les comptes distants (carte CPS ou application), blocage des essais répétés, géo-filtrage</t>
  </si>
  <si>
    <t>ISO27002-8.5</t>
  </si>
  <si>
    <t>MR-14</t>
  </si>
  <si>
    <t>Messagerie Exchange 2016 exposée et webmail OWA</t>
  </si>
  <si>
    <t>Exploitation d'une vulnérabilité de type ProxyShell sur le serveur de messagerie exposé sur Internet</t>
  </si>
  <si>
    <t>Correctifs appliqués sans délai, mise à jour ou migration du serveur, filtrage applicatif (WAF), surveillance</t>
  </si>
  <si>
    <t>MR-15</t>
  </si>
  <si>
    <t>Messagerie et postes des soignants et du personnel administratif</t>
  </si>
  <si>
    <t>Hameçonnage ciblant le personnel : vol d'identifiants ou ouverture d'une pièce jointe malveillante</t>
  </si>
  <si>
    <t>Sensibilisation régulière avec campagnes de test, filtrage des messages, MFA, signalement simple des mails suspects</t>
  </si>
  <si>
    <t>ISO27002-6.3</t>
  </si>
  <si>
    <t>MR-16</t>
  </si>
  <si>
    <t>Supervision de sécurité (aucun SOC, EDR ni SIEM en place)</t>
  </si>
  <si>
    <t>Intrusion non détectée pendant des semaines faute de supervision et de journaux centralisés</t>
  </si>
  <si>
    <t>Répudiation / absence de traçabilité (STRIDE-R)</t>
  </si>
  <si>
    <t>Journalisation centralisée, EDR sur serveurs et postes, supervision par un SOC interne ou externalisé</t>
  </si>
  <si>
    <t>ISO27002-8.16</t>
  </si>
  <si>
    <t>MR-17</t>
  </si>
  <si>
    <t>Postes legacy d'imagerie (≈ 5 % en Windows 7 / XP Embedded)</t>
  </si>
  <si>
    <t>Compromission d'un poste legacy, non patchable, comme point d'entrée dans le réseau de la clinique</t>
  </si>
  <si>
    <t>Exploitation de vulnérabilité (STRIDE-E)</t>
  </si>
  <si>
    <t>Isolation dans un VLAN dédié, liste blanche d'applications, accès Internet interdit, plan de remplacement</t>
  </si>
  <si>
    <t>ISO27002-8.22</t>
  </si>
  <si>
    <t>MR-18</t>
  </si>
  <si>
    <t>D. Réseau</t>
  </si>
  <si>
    <t>Réseau interne des cliniques (VLAN IoT/biomédical non cloisonné, aucune isolation entre sites)</t>
  </si>
  <si>
    <t>Mouvement latéral d'un attaquant depuis un poste ou un équipement compromis vers les serveurs et les autres cliniques</t>
  </si>
  <si>
    <t>Micro-segmentation, filtrage inter-sites et inter-VLAN, contrôle d'accès réseau (NAC)</t>
  </si>
  <si>
    <t>MR-19</t>
  </si>
  <si>
    <t>Wi-Fi invités et patients (sortie Internet directe sans filtrage)</t>
  </si>
  <si>
    <t>Utilisation du Wi-Fi invité pour attaquer ou rebondir, ou pour des usages illicites imputables à l'établissement</t>
  </si>
  <si>
    <t>Usurpation et rebond (STRIDE-S)</t>
  </si>
  <si>
    <t>Réseau isolé du SI, filtrage web, authentification des invités, journalisation, limitation de débit</t>
  </si>
  <si>
    <t>ISO27002-8.20</t>
  </si>
  <si>
    <t>MR-20</t>
  </si>
  <si>
    <t>Services exposés sur Internet (VPN, webmail, extranet, sites des cliniques)</t>
  </si>
  <si>
    <t>Déni de service rendant indisponibles les services exposés aux patients, praticiens et partenaires</t>
  </si>
  <si>
    <t>Déni de service (STRIDE-D)</t>
  </si>
  <si>
    <t>Protection anti-DDoS chez l'opérateur ou l'hébergeur, limitation de débit, exploitation en mode dégradé</t>
  </si>
  <si>
    <t>MR-21</t>
  </si>
  <si>
    <t>E. Données de santé et conformité</t>
  </si>
  <si>
    <t>Dossiers patients (≈ 150 000) du DPI Nexus</t>
  </si>
  <si>
    <t>Fuite de données de santé par exfiltration, mauvaise gestion des droits ou compte compromis</t>
  </si>
  <si>
    <t>Divulgation d'informations (STRIDE-I)</t>
  </si>
  <si>
    <t>Droits au moindre privilège, chiffrement, détection d'exfiltration, journal d'accès aux dossiers</t>
  </si>
  <si>
    <t>ISO27002-8.12</t>
  </si>
  <si>
    <t>MR-22</t>
  </si>
  <si>
    <t>Dossiers patients accessibles au personnel</t>
  </si>
  <si>
    <t>Consultation abusive de dossiers par un agent interne (curiosité, personnalités) sans contrôle effectif</t>
  </si>
  <si>
    <t>Journalisation nominative des accès, revue régulière et alertes sur accès atypiques, sanctions rappelées</t>
  </si>
  <si>
    <t>ISO27002-8.15</t>
  </si>
  <si>
    <t>MR-23</t>
  </si>
  <si>
    <t>Traitement de données de santé (RGPD, hébergement de données de santé)</t>
  </si>
  <si>
    <t>Non-conformité réglementaire (RGPD, hébergement de données de santé) : sanctions et obligations de notification manquées</t>
  </si>
  <si>
    <t>Conformité (juridique)</t>
  </si>
  <si>
    <t>Registre des traitements, analyses d'impact, procédure de notification, référent protection des données</t>
  </si>
  <si>
    <t>ISO27002-5.34</t>
  </si>
  <si>
    <t>MR-24</t>
  </si>
  <si>
    <t>Postes et supports mobiles des cliniques</t>
  </si>
  <si>
    <t>Perte ou vol d'un poste ou d'un support non chiffré contenant des données patients</t>
  </si>
  <si>
    <t>Chiffrement des disques et supports, gestion des postes, procédure de déclaration de perte</t>
  </si>
  <si>
    <t>ISO27002-8.1</t>
  </si>
  <si>
    <t>MR-25</t>
  </si>
  <si>
    <t>F. IoT et biomédical</t>
  </si>
  <si>
    <t>Parc IoT médical (≈ 4 000 dispositifs, certains non patchables)</t>
  </si>
  <si>
    <t>Compromission d'un dispositif connecté non patchable (pompe, moniteur) : perturbation des soins ou rebond vers le réseau</t>
  </si>
  <si>
    <t>VLAN dédié, flux strictement filtrés, inventaire, supervision passive, mesures compensatoires convenues avec les fabricants</t>
  </si>
  <si>
    <t>MR-26</t>
  </si>
  <si>
    <t>PACS/RIS (stockage DICOM, protocole SMBv1)</t>
  </si>
  <si>
    <t>Propagation d'un ver exploitant SMBv1 (type WannaCry) : arrêt de l'imagerie dans les cliniques</t>
  </si>
  <si>
    <t>Désactiver SMBv1 ou isoler les systèmes qui en dépendent, correctifs, segmentation, sauvegardes hors ligne</t>
  </si>
  <si>
    <t>MR-27</t>
  </si>
  <si>
    <t>G. Cloud et migration (cible)</t>
  </si>
  <si>
    <t>Hébergeur cloud certifié pour les données de santé (choix non arrêté)</t>
  </si>
  <si>
    <t>Dépendance à l'hébergeur : réversibilité difficile, exposition à des lois extra-européennes, indisponibilité du fournisseur</t>
  </si>
  <si>
    <t>Dépendance fournisseur (disponibilité / juridique)</t>
  </si>
  <si>
    <t>Clauses de réversibilité et de localisation, choix d'un hébergeur certifié et européen, stratégie de sortie testée</t>
  </si>
  <si>
    <t>ISO27002-5.23</t>
  </si>
  <si>
    <t>MR-28</t>
  </si>
  <si>
    <t>Applications et API du cloud hybride (télémédecine)</t>
  </si>
  <si>
    <t>Erreur de configuration ou exposition non prévue d'une API pendant la migration : accès non autorisé aux données</t>
  </si>
  <si>
    <t>Falsification et divulgation (STRIDE-T/I)</t>
  </si>
  <si>
    <t>Revue de configuration avant mise en service, passerelle d'API avec authentification, tests d'intrusion, gestion des secrets</t>
  </si>
  <si>
    <t>ISO27002-8.9</t>
  </si>
  <si>
    <t>MR-29</t>
  </si>
  <si>
    <t>H. Organisation, humain et tiers</t>
  </si>
  <si>
    <t>Administration des pare-feu, serveurs et annuaire</t>
  </si>
  <si>
    <t>Erreur humaine d'un administrateur (règle trop ouverte, suppression) sans revue ni retour arrière</t>
  </si>
  <si>
    <t>Altération (STRIDE-T)</t>
  </si>
  <si>
    <t>Gestion des changements avec revue, sauvegarde de configuration, séparation des tâches, procédure de retour arrière</t>
  </si>
  <si>
    <t>ISO27002-8.32</t>
  </si>
  <si>
    <t>MR-30</t>
  </si>
  <si>
    <t>Sites web des 12 cliniques hébergés chez un prestataire (WordPress non durci)</t>
  </si>
  <si>
    <t>Défacement ou compromission des sites des cliniques, ou défaillance du prestataire : atteinte à l'image et phishing de patients</t>
  </si>
  <si>
    <t>Falsification (STRIDE-T)</t>
  </si>
  <si>
    <t>Transférer</t>
  </si>
  <si>
    <t>Contrat avec exigences de sécurité et de reprise, durcissement et mises à jour, surveillance de l'intégrité</t>
  </si>
  <si>
    <t>ISO27002-5.20</t>
  </si>
  <si>
    <t>Comparaison avec le registre des agents (SanteTech : 135 risques, 75 Critique / 35 Élevé / 13 Moyen / 12 Faible)</t>
  </si>
  <si>
    <t>Rapprochement fait par lecture du registre (mots-clés puis jugement) : les identifiants sont les principaux rapprochements, non une liste exhaustive. Écart = niveau médian des risques rapprochés moins le niveau de la référence.</t>
  </si>
  <si>
    <t>Risque de référence</t>
  </si>
  <si>
    <t>Niveau référence</t>
  </si>
  <si>
    <t>Couverture par les agents</t>
  </si>
  <si>
    <t>Risques des agents rapprochés</t>
  </si>
  <si>
    <t>Niveaux des agents</t>
  </si>
  <si>
    <t>Écart de niveau</t>
  </si>
  <si>
    <t>Observation</t>
  </si>
  <si>
    <t>Incendie de la salle serveurs du siège</t>
  </si>
  <si>
    <t>Non couvert</t>
  </si>
  <si>
    <t>—</t>
  </si>
  <si>
    <t>Aucun risque de sinistre physique dans le registre : les agents ne produisent que des scénarios d'attaque (STRIDE, LINDDUN).</t>
  </si>
  <si>
    <t>Idem : aucun risque d'inondation ou de dégât des eaux.</t>
  </si>
  <si>
    <t>Coupure électrique prolongée ou onduleurs défaillants</t>
  </si>
  <si>
    <t>Idem : aucun risque de coupure électrique ni d'onduleur.</t>
  </si>
  <si>
    <t>Partiel</t>
  </si>
  <si>
    <t>M053, M099</t>
  </si>
  <si>
    <t>1 Critique, 1 Moyen</t>
  </si>
  <si>
    <t>Même niveau</t>
  </si>
  <si>
    <t>M053 traite l'exposition physique des locaux informatiques, M099 le stockage non chiffré en clinique. Le vol de matériel n'est pas nommé comme scénario.</t>
  </si>
  <si>
    <t>Indisponibilité du site central</t>
  </si>
  <si>
    <t>M091, M095, M127, M033, M055</t>
  </si>
  <si>
    <t>2 Critique, 2 Élevé, 1 Moyen</t>
  </si>
  <si>
    <t>Le MPLS en étoile est vu comme un défaut de cloisonnement (propagation), pas comme un point unique de défaillance : la panne du siège n'est pas décrite. M033 et M055 touchent la perte d'authentification.</t>
  </si>
  <si>
    <t>Perte du lien MPLS d'une clinique</t>
  </si>
  <si>
    <t>La perte du lien d'une clinique n'est pas traitée (M127 concerne l'isolation logique, pas la disponibilité).</t>
  </si>
  <si>
    <t>Absence de plan de reprise d'activité éprouvé et de site secondaire</t>
  </si>
  <si>
    <t>Aucun risque d'absence de plan de reprise ou de site secondaire (M118 parle de surcharge des serveurs de secours, pas du plan de reprise).</t>
  </si>
  <si>
    <t>Sauvegardes absentes, non testées ou stockées au même endroit</t>
  </si>
  <si>
    <t>Aucun risque sur les sauvegardes (absence, test de restauration, copie hors ligne).</t>
  </si>
  <si>
    <t>Défaillance du stockage vieillissant</t>
  </si>
  <si>
    <t>M004, M005, M016</t>
  </si>
  <si>
    <t>2 Critique, 1 Élevé</t>
  </si>
  <si>
    <t>Agents plus haut (+1)</t>
  </si>
  <si>
    <t>La perte des images est décrite comme conséquence d'une attaque (SMB, rançongiciel, malware) ; la panne matérielle du stockage vieillissant n'est pas décrite.</t>
  </si>
  <si>
    <t>Couvert</t>
  </si>
  <si>
    <t>M001, M002, M034, M058, M093, M094, M116</t>
  </si>
  <si>
    <t>5 Critique, 2 Élevé</t>
  </si>
  <si>
    <t>Bien couvert, sous l'angle des vulnérabilités des systèmes legacy (Citrix, Windows 7/XP, serveurs non patchés).</t>
  </si>
  <si>
    <t>Critique</t>
  </si>
  <si>
    <t>M005, M012, M111</t>
  </si>
  <si>
    <t>3 Critique</t>
  </si>
  <si>
    <t>Rançongiciel couvert sur les images, l'accès distant et l'absence de détection.</t>
  </si>
  <si>
    <t>M027, M054, M097, M098, M108, M109</t>
  </si>
  <si>
    <t>6 Critique</t>
  </si>
  <si>
    <t>Couvert avec plus de finesse technique que la référence (DCSync, Kerberoasting, LSASS, objets Kerberos).</t>
  </si>
  <si>
    <t>Accès au VPN par vol ou bourrage d'identifiants</t>
  </si>
  <si>
    <t>M010, M011, M052, M106, M122, M114</t>
  </si>
  <si>
    <t>5 Critique, 1 Élevé</t>
  </si>
  <si>
    <t>Couvert : absence de MFA sur 60 % des comptes, vol d'identifiants, usurpation.</t>
  </si>
  <si>
    <t>M007, M060, M104, M124, M115</t>
  </si>
  <si>
    <t>4 Critique, 1 Élevé</t>
  </si>
  <si>
    <t>Couvert, ProxyShell nommé explicitement.</t>
  </si>
  <si>
    <t>Hameçonnage ciblant le personnel</t>
  </si>
  <si>
    <t>M072, M082, M102, M114</t>
  </si>
  <si>
    <t>4 Critique</t>
  </si>
  <si>
    <t>Couvert sous plusieurs angles (soignants, patients par SMS, usurpation de messagerie).</t>
  </si>
  <si>
    <t>M111, M112, M113, M125</t>
  </si>
  <si>
    <t>2 Critique, 2 Élevé</t>
  </si>
  <si>
    <t>Agents plus bas (-1)</t>
  </si>
  <si>
    <t>Couvert : détection inexistante, absence de SIEM, exfiltration non détectée.</t>
  </si>
  <si>
    <t>M093, M094</t>
  </si>
  <si>
    <t>2 Critique</t>
  </si>
  <si>
    <t>Couvert : fuite de données et élévation de privilèges depuis les postes Windows 7/XP.</t>
  </si>
  <si>
    <t>M070, M057, M127, M128, M092, M095</t>
  </si>
  <si>
    <t>3 Critique, 3 Élevé</t>
  </si>
  <si>
    <t>Couvert : micro-segmentation absente, VLAN IoT non cloisonné, propagation entre cliniques.</t>
  </si>
  <si>
    <t>M048, M049, M132, M133, M071</t>
  </si>
  <si>
    <t>2 Critique, 2 Élevé, 1 Faible</t>
  </si>
  <si>
    <t>Couvert, avec des niveaux plus élevés que la référence (le Wi-Fi invité n'a pas de lien direct avec le DPI).</t>
  </si>
  <si>
    <t>M015, M077, M125, M055</t>
  </si>
  <si>
    <t>1 Critique, 3 Élevé</t>
  </si>
  <si>
    <t>Couvert : Exchange, API de télémédecine, contrôleur de domaine unique.</t>
  </si>
  <si>
    <t>M002, M040, M062, M080, M085</t>
  </si>
  <si>
    <t>5 Critique</t>
  </si>
  <si>
    <t>Très couvert (39 risques du registre parlent de fuite ou d'exfiltration) ; risque de redite plutôt que de manque.</t>
  </si>
  <si>
    <t>M061, M129</t>
  </si>
  <si>
    <t>2 Élevé</t>
  </si>
  <si>
    <t>Traçabilité insuffisante des accès (M061) et accès RDP interne non contrôlé (M129) ; la consultation abusive par un agent n'est pas nommée comme scénario.</t>
  </si>
  <si>
    <t>Non-conformité réglementaire (RGPD, hébergement de données de santé)</t>
  </si>
  <si>
    <t>M043, M044, M117</t>
  </si>
  <si>
    <t>2 Critique, 1 Faible</t>
  </si>
  <si>
    <t>Conformité vue sous l'angle HDS et Cloud Act (M043, M044). Le RGPD n'est traité que par M117 (niveau Faible, formulation hors sujet) : notification, registre des traitements, analyse d'impact absents.</t>
  </si>
  <si>
    <t>M099, M053</t>
  </si>
  <si>
    <t>Stockage non chiffré en clinique (M099) ; la perte ou le vol d'un poste n'est pas évoqué comme tel.</t>
  </si>
  <si>
    <t>Compromission d'un dispositif connecté non patchable (pompe, moniteur)</t>
  </si>
  <si>
    <t>M045, M064, M063, M088, M089, M130</t>
  </si>
  <si>
    <t>Couvert, plusieurs angles (dosage, commandes Wi-Fi 6, botnets, routage direct vers les automates).</t>
  </si>
  <si>
    <t>Propagation d'un ver exploitant SMBv1 (type WannaCry)</t>
  </si>
  <si>
    <t>M004, M005, M016, M059, M094</t>
  </si>
  <si>
    <t>Couvert : SMBv1 sur le PACS/RIS nommé explicitement.</t>
  </si>
  <si>
    <t>Dépendance à l'hébergeur</t>
  </si>
  <si>
    <t>M043, M044</t>
  </si>
  <si>
    <t>Agents plus haut (+2)</t>
  </si>
  <si>
    <t>Cloud Act et certification HDS traités ; réversibilité et indisponibilité du fournisseur absentes.</t>
  </si>
  <si>
    <t>Erreur de configuration ou exposition non prévue d'une API pendant la migration</t>
  </si>
  <si>
    <t>M003, M050, M062, M041, M134</t>
  </si>
  <si>
    <t>Couvert : API Gateway non sécurisée, flux non inventoriés, migration du DPI.</t>
  </si>
  <si>
    <t>Aucun risque d'erreur humaine d'administration ni de gestion des changements.</t>
  </si>
  <si>
    <t>Défacement ou compromission des sites des cliniques, ou défaillance du prestataire</t>
  </si>
  <si>
    <t>M021, M023, M025, M126, M121</t>
  </si>
  <si>
    <t>3 Élevé, 2 Faible</t>
  </si>
  <si>
    <t>Défacement et CMS couverts ; la défaillance du prestataire (volet contractuel) n'est pas traitée.</t>
  </si>
  <si>
    <t>Matrice du sujet (probabilité × impact → niveau) et bilan</t>
  </si>
  <si>
    <t>Table de correspondance utilisée par le calcul du niveau</t>
  </si>
  <si>
    <t>Clé : probabilité/impact</t>
  </si>
  <si>
    <t>Élevée/Faible</t>
  </si>
  <si>
    <t>Élevée/Moyen</t>
  </si>
  <si>
    <t>Élevée/Élevé</t>
  </si>
  <si>
    <t>Moyenne/Faible</t>
  </si>
  <si>
    <t>Moyenne/Moyen</t>
  </si>
  <si>
    <t>Moyenne/Élevé</t>
  </si>
  <si>
    <t>Faible/Faible</t>
  </si>
  <si>
    <t>Faible/Moyen</t>
  </si>
  <si>
    <t>Faible/Élevé</t>
  </si>
  <si>
    <t>Lecture en grille</t>
  </si>
  <si>
    <t>Probabilité \ Impact</t>
  </si>
  <si>
    <t>Répartition des niveaux</t>
  </si>
  <si>
    <t>Référence (30)</t>
  </si>
  <si>
    <t>Référence (%)</t>
  </si>
  <si>
    <t>Agents (135)</t>
  </si>
  <si>
    <t>Agents (%)</t>
  </si>
  <si>
    <t>Couverture des 30 risques de référence par le registre des agents</t>
  </si>
  <si>
    <t>Couverture</t>
  </si>
  <si>
    <t>Nombre</t>
  </si>
  <si>
    <t>Écart de niveau sur les risques couverts ou partiels</t>
  </si>
  <si>
    <t>Agents plus haut</t>
  </si>
  <si>
    <t>Agents plus bas</t>
  </si>
  <si>
    <t xml:space="preserve">Statut : Établi le 15/10/2026 à partir des pièces du cas et de risques classiques, avant le rapprochement avec le registre des agents.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</si>
</sst>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9C2A00"/>
      <name val="Calibri"/>
      <family val="2"/>
      <scheme val="minor"/>
    </font>
    <font>
      <i/>
      <sz val="10"/>
      <color rgb="FF444444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1E0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FDF0B0"/>
        <bgColor indexed="64"/>
      </patternFill>
    </fill>
    <fill>
      <patternFill patternType="solid">
        <fgColor rgb="FFF4B6B6"/>
        <bgColor indexed="64"/>
      </patternFill>
    </fill>
    <fill>
      <patternFill patternType="solid">
        <fgColor rgb="FFF9D4A8"/>
        <bgColor indexed="64"/>
      </patternFill>
    </fill>
    <fill>
      <patternFill patternType="solid">
        <fgColor rgb="FFCFE8CF"/>
        <bgColor indexed="64"/>
      </patternFill>
    </fill>
    <fill>
      <patternFill patternType="solid">
        <fgColor rgb="FFE8ED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4">
    <dxf>
      <font>
        <b/>
      </font>
      <fill>
        <patternFill>
          <bgColor rgb="FFCFE8CF"/>
        </patternFill>
      </fill>
    </dxf>
    <dxf>
      <font>
        <b/>
      </font>
      <fill>
        <patternFill>
          <bgColor rgb="FFFDF0B0"/>
        </patternFill>
      </fill>
    </dxf>
    <dxf>
      <font>
        <b/>
      </font>
      <fill>
        <patternFill>
          <bgColor rgb="FFF9D4A8"/>
        </patternFill>
      </fill>
    </dxf>
    <dxf>
      <font>
        <b/>
      </font>
      <fill>
        <patternFill>
          <bgColor rgb="FFF4B6B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4"/>
  <sheetViews>
    <sheetView tabSelected="1"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L4" sqref="L1:L1048576"/>
    </sheetView>
  </sheetViews>
  <sheetFormatPr baseColWidth="10" defaultColWidth="8.7265625" defaultRowHeight="14.5" x14ac:dyDescent="0.35"/>
  <cols>
    <col min="1" max="1" width="8.7265625" customWidth="1"/>
    <col min="2" max="2" width="24.7265625" customWidth="1"/>
    <col min="3" max="3" width="34.7265625" customWidth="1"/>
    <col min="4" max="4" width="52.7265625" customWidth="1"/>
    <col min="5" max="5" width="24.7265625" customWidth="1"/>
    <col min="6" max="6" width="12.7265625" customWidth="1"/>
    <col min="7" max="7" width="10.7265625" customWidth="1"/>
    <col min="8" max="8" width="11.7265625" customWidth="1"/>
    <col min="9" max="9" width="12.7265625" customWidth="1"/>
    <col min="10" max="10" width="52.7265625" customWidth="1"/>
    <col min="11" max="11" width="13.7265625" customWidth="1"/>
  </cols>
  <sheetData>
    <row r="1" spans="1:11" ht="18.5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44" customHeight="1" x14ac:dyDescent="0.35">
      <c r="A2" s="11" t="s">
        <v>319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40" customHeight="1" x14ac:dyDescent="0.3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30" customHeight="1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 ht="62" customHeight="1" x14ac:dyDescent="0.35">
      <c r="A5" s="3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3" t="s">
        <v>18</v>
      </c>
      <c r="G5" s="3" t="s">
        <v>19</v>
      </c>
      <c r="H5" s="3" t="str">
        <f>VLOOKUP(F5&amp;"/"&amp;G5,'Matrice et bilan'!$A$5:$B$13,2,FALSE)</f>
        <v>Moyen</v>
      </c>
      <c r="I5" s="3" t="s">
        <v>20</v>
      </c>
      <c r="J5" s="4" t="s">
        <v>21</v>
      </c>
      <c r="K5" s="3" t="s">
        <v>22</v>
      </c>
    </row>
    <row r="6" spans="1:11" ht="62" customHeight="1" x14ac:dyDescent="0.35">
      <c r="A6" s="3" t="s">
        <v>23</v>
      </c>
      <c r="B6" s="4" t="s">
        <v>14</v>
      </c>
      <c r="C6" s="4" t="s">
        <v>24</v>
      </c>
      <c r="D6" s="4" t="s">
        <v>25</v>
      </c>
      <c r="E6" s="4" t="s">
        <v>17</v>
      </c>
      <c r="F6" s="3" t="s">
        <v>18</v>
      </c>
      <c r="G6" s="3" t="s">
        <v>19</v>
      </c>
      <c r="H6" s="3" t="str">
        <f>VLOOKUP(F6&amp;"/"&amp;G6,'Matrice et bilan'!$A$5:$B$13,2,FALSE)</f>
        <v>Moyen</v>
      </c>
      <c r="I6" s="3" t="s">
        <v>20</v>
      </c>
      <c r="J6" s="4" t="s">
        <v>26</v>
      </c>
      <c r="K6" s="3" t="s">
        <v>22</v>
      </c>
    </row>
    <row r="7" spans="1:11" ht="62" customHeight="1" x14ac:dyDescent="0.35">
      <c r="A7" s="3" t="s">
        <v>27</v>
      </c>
      <c r="B7" s="4" t="s">
        <v>14</v>
      </c>
      <c r="C7" s="4" t="s">
        <v>28</v>
      </c>
      <c r="D7" s="4" t="s">
        <v>29</v>
      </c>
      <c r="E7" s="4" t="s">
        <v>30</v>
      </c>
      <c r="F7" s="3" t="s">
        <v>31</v>
      </c>
      <c r="G7" s="3" t="s">
        <v>19</v>
      </c>
      <c r="H7" s="3" t="str">
        <f>VLOOKUP(F7&amp;"/"&amp;G7,'Matrice et bilan'!$A$5:$B$13,2,FALSE)</f>
        <v>Élevé</v>
      </c>
      <c r="I7" s="3" t="s">
        <v>20</v>
      </c>
      <c r="J7" s="4" t="s">
        <v>32</v>
      </c>
      <c r="K7" s="3" t="s">
        <v>33</v>
      </c>
    </row>
    <row r="8" spans="1:11" ht="62" customHeight="1" x14ac:dyDescent="0.35">
      <c r="A8" s="3" t="s">
        <v>34</v>
      </c>
      <c r="B8" s="4" t="s">
        <v>14</v>
      </c>
      <c r="C8" s="4" t="s">
        <v>35</v>
      </c>
      <c r="D8" s="4" t="s">
        <v>36</v>
      </c>
      <c r="E8" s="4" t="s">
        <v>37</v>
      </c>
      <c r="F8" s="3" t="s">
        <v>31</v>
      </c>
      <c r="G8" s="3" t="s">
        <v>38</v>
      </c>
      <c r="H8" s="3" t="str">
        <f>VLOOKUP(F8&amp;"/"&amp;G8,'Matrice et bilan'!$A$5:$B$13,2,FALSE)</f>
        <v>Moyen</v>
      </c>
      <c r="I8" s="3" t="s">
        <v>20</v>
      </c>
      <c r="J8" s="4" t="s">
        <v>39</v>
      </c>
      <c r="K8" s="3" t="s">
        <v>40</v>
      </c>
    </row>
    <row r="9" spans="1:11" ht="62" customHeight="1" x14ac:dyDescent="0.35">
      <c r="A9" s="3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3" t="s">
        <v>31</v>
      </c>
      <c r="G9" s="3" t="s">
        <v>19</v>
      </c>
      <c r="H9" s="3" t="str">
        <f>VLOOKUP(F9&amp;"/"&amp;G9,'Matrice et bilan'!$A$5:$B$13,2,FALSE)</f>
        <v>Élevé</v>
      </c>
      <c r="I9" s="3" t="s">
        <v>20</v>
      </c>
      <c r="J9" s="4" t="s">
        <v>46</v>
      </c>
      <c r="K9" s="3" t="s">
        <v>47</v>
      </c>
    </row>
    <row r="10" spans="1:11" ht="62" customHeight="1" x14ac:dyDescent="0.35">
      <c r="A10" s="3" t="s">
        <v>48</v>
      </c>
      <c r="B10" s="4" t="s">
        <v>42</v>
      </c>
      <c r="C10" s="4" t="s">
        <v>49</v>
      </c>
      <c r="D10" s="4" t="s">
        <v>50</v>
      </c>
      <c r="E10" s="4" t="s">
        <v>45</v>
      </c>
      <c r="F10" s="3" t="s">
        <v>31</v>
      </c>
      <c r="G10" s="3" t="s">
        <v>38</v>
      </c>
      <c r="H10" s="3" t="str">
        <f>VLOOKUP(F10&amp;"/"&amp;G10,'Matrice et bilan'!$A$5:$B$13,2,FALSE)</f>
        <v>Moyen</v>
      </c>
      <c r="I10" s="3" t="s">
        <v>20</v>
      </c>
      <c r="J10" s="4" t="s">
        <v>51</v>
      </c>
      <c r="K10" s="3" t="s">
        <v>47</v>
      </c>
    </row>
    <row r="11" spans="1:11" ht="62" customHeight="1" x14ac:dyDescent="0.35">
      <c r="A11" s="3" t="s">
        <v>52</v>
      </c>
      <c r="B11" s="4" t="s">
        <v>42</v>
      </c>
      <c r="C11" s="4" t="s">
        <v>53</v>
      </c>
      <c r="D11" s="4" t="s">
        <v>54</v>
      </c>
      <c r="E11" s="4" t="s">
        <v>55</v>
      </c>
      <c r="F11" s="3" t="s">
        <v>31</v>
      </c>
      <c r="G11" s="3" t="s">
        <v>19</v>
      </c>
      <c r="H11" s="3" t="str">
        <f>VLOOKUP(F11&amp;"/"&amp;G11,'Matrice et bilan'!$A$5:$B$13,2,FALSE)</f>
        <v>Élevé</v>
      </c>
      <c r="I11" s="3" t="s">
        <v>20</v>
      </c>
      <c r="J11" s="4" t="s">
        <v>56</v>
      </c>
      <c r="K11" s="3" t="s">
        <v>57</v>
      </c>
    </row>
    <row r="12" spans="1:11" ht="62" customHeight="1" x14ac:dyDescent="0.35">
      <c r="A12" s="3" t="s">
        <v>58</v>
      </c>
      <c r="B12" s="4" t="s">
        <v>42</v>
      </c>
      <c r="C12" s="4" t="s">
        <v>59</v>
      </c>
      <c r="D12" s="4" t="s">
        <v>60</v>
      </c>
      <c r="E12" s="4" t="s">
        <v>61</v>
      </c>
      <c r="F12" s="3" t="s">
        <v>31</v>
      </c>
      <c r="G12" s="3" t="s">
        <v>19</v>
      </c>
      <c r="H12" s="3" t="str">
        <f>VLOOKUP(F12&amp;"/"&amp;G12,'Matrice et bilan'!$A$5:$B$13,2,FALSE)</f>
        <v>Élevé</v>
      </c>
      <c r="I12" s="3" t="s">
        <v>20</v>
      </c>
      <c r="J12" s="4" t="s">
        <v>62</v>
      </c>
      <c r="K12" s="3" t="s">
        <v>63</v>
      </c>
    </row>
    <row r="13" spans="1:11" ht="62" customHeight="1" x14ac:dyDescent="0.35">
      <c r="A13" s="3" t="s">
        <v>64</v>
      </c>
      <c r="B13" s="4" t="s">
        <v>42</v>
      </c>
      <c r="C13" s="4" t="s">
        <v>65</v>
      </c>
      <c r="D13" s="4" t="s">
        <v>66</v>
      </c>
      <c r="E13" s="4" t="s">
        <v>30</v>
      </c>
      <c r="F13" s="3" t="s">
        <v>31</v>
      </c>
      <c r="G13" s="3" t="s">
        <v>19</v>
      </c>
      <c r="H13" s="3" t="str">
        <f>VLOOKUP(F13&amp;"/"&amp;G13,'Matrice et bilan'!$A$5:$B$13,2,FALSE)</f>
        <v>Élevé</v>
      </c>
      <c r="I13" s="3" t="s">
        <v>20</v>
      </c>
      <c r="J13" s="4" t="s">
        <v>67</v>
      </c>
      <c r="K13" s="3" t="s">
        <v>47</v>
      </c>
    </row>
    <row r="14" spans="1:11" ht="62" customHeight="1" x14ac:dyDescent="0.35">
      <c r="A14" s="3" t="s">
        <v>68</v>
      </c>
      <c r="B14" s="4" t="s">
        <v>42</v>
      </c>
      <c r="C14" s="4" t="s">
        <v>69</v>
      </c>
      <c r="D14" s="4" t="s">
        <v>70</v>
      </c>
      <c r="E14" s="4" t="s">
        <v>71</v>
      </c>
      <c r="F14" s="3" t="s">
        <v>72</v>
      </c>
      <c r="G14" s="3" t="s">
        <v>38</v>
      </c>
      <c r="H14" s="3" t="str">
        <f>VLOOKUP(F14&amp;"/"&amp;G14,'Matrice et bilan'!$A$5:$B$13,2,FALSE)</f>
        <v>Élevé</v>
      </c>
      <c r="I14" s="3" t="s">
        <v>20</v>
      </c>
      <c r="J14" s="4" t="s">
        <v>73</v>
      </c>
      <c r="K14" s="3" t="s">
        <v>74</v>
      </c>
    </row>
    <row r="15" spans="1:11" ht="62" customHeight="1" x14ac:dyDescent="0.35">
      <c r="A15" s="3" t="s">
        <v>75</v>
      </c>
      <c r="B15" s="4" t="s">
        <v>76</v>
      </c>
      <c r="C15" s="4" t="s">
        <v>77</v>
      </c>
      <c r="D15" s="4" t="s">
        <v>78</v>
      </c>
      <c r="E15" s="4" t="s">
        <v>79</v>
      </c>
      <c r="F15" s="3" t="s">
        <v>72</v>
      </c>
      <c r="G15" s="3" t="s">
        <v>19</v>
      </c>
      <c r="H15" s="3" t="str">
        <f>VLOOKUP(F15&amp;"/"&amp;G15,'Matrice et bilan'!$A$5:$B$13,2,FALSE)</f>
        <v>Critique</v>
      </c>
      <c r="I15" s="3" t="s">
        <v>20</v>
      </c>
      <c r="J15" s="4" t="s">
        <v>80</v>
      </c>
      <c r="K15" s="3" t="s">
        <v>81</v>
      </c>
    </row>
    <row r="16" spans="1:11" ht="62" customHeight="1" x14ac:dyDescent="0.35">
      <c r="A16" s="3" t="s">
        <v>82</v>
      </c>
      <c r="B16" s="4" t="s">
        <v>76</v>
      </c>
      <c r="C16" s="4" t="s">
        <v>83</v>
      </c>
      <c r="D16" s="4" t="s">
        <v>84</v>
      </c>
      <c r="E16" s="4" t="s">
        <v>85</v>
      </c>
      <c r="F16" s="3" t="s">
        <v>31</v>
      </c>
      <c r="G16" s="3" t="s">
        <v>19</v>
      </c>
      <c r="H16" s="3" t="str">
        <f>VLOOKUP(F16&amp;"/"&amp;G16,'Matrice et bilan'!$A$5:$B$13,2,FALSE)</f>
        <v>Élevé</v>
      </c>
      <c r="I16" s="3" t="s">
        <v>20</v>
      </c>
      <c r="J16" s="4" t="s">
        <v>86</v>
      </c>
      <c r="K16" s="3" t="s">
        <v>87</v>
      </c>
    </row>
    <row r="17" spans="1:11" ht="62" customHeight="1" x14ac:dyDescent="0.35">
      <c r="A17" s="3" t="s">
        <v>88</v>
      </c>
      <c r="B17" s="4" t="s">
        <v>76</v>
      </c>
      <c r="C17" s="4" t="s">
        <v>89</v>
      </c>
      <c r="D17" s="4" t="s">
        <v>90</v>
      </c>
      <c r="E17" s="4" t="s">
        <v>91</v>
      </c>
      <c r="F17" s="3" t="s">
        <v>72</v>
      </c>
      <c r="G17" s="3" t="s">
        <v>19</v>
      </c>
      <c r="H17" s="3" t="str">
        <f>VLOOKUP(F17&amp;"/"&amp;G17,'Matrice et bilan'!$A$5:$B$13,2,FALSE)</f>
        <v>Critique</v>
      </c>
      <c r="I17" s="3" t="s">
        <v>20</v>
      </c>
      <c r="J17" s="4" t="s">
        <v>92</v>
      </c>
      <c r="K17" s="3" t="s">
        <v>93</v>
      </c>
    </row>
    <row r="18" spans="1:11" ht="62" customHeight="1" x14ac:dyDescent="0.35">
      <c r="A18" s="3" t="s">
        <v>94</v>
      </c>
      <c r="B18" s="4" t="s">
        <v>76</v>
      </c>
      <c r="C18" s="4" t="s">
        <v>95</v>
      </c>
      <c r="D18" s="4" t="s">
        <v>96</v>
      </c>
      <c r="E18" s="4" t="s">
        <v>85</v>
      </c>
      <c r="F18" s="3" t="s">
        <v>72</v>
      </c>
      <c r="G18" s="3" t="s">
        <v>19</v>
      </c>
      <c r="H18" s="3" t="str">
        <f>VLOOKUP(F18&amp;"/"&amp;G18,'Matrice et bilan'!$A$5:$B$13,2,FALSE)</f>
        <v>Critique</v>
      </c>
      <c r="I18" s="3" t="s">
        <v>20</v>
      </c>
      <c r="J18" s="4" t="s">
        <v>97</v>
      </c>
      <c r="K18" s="3" t="s">
        <v>74</v>
      </c>
    </row>
    <row r="19" spans="1:11" ht="62" customHeight="1" x14ac:dyDescent="0.35">
      <c r="A19" s="3" t="s">
        <v>98</v>
      </c>
      <c r="B19" s="4" t="s">
        <v>76</v>
      </c>
      <c r="C19" s="4" t="s">
        <v>99</v>
      </c>
      <c r="D19" s="4" t="s">
        <v>100</v>
      </c>
      <c r="E19" s="4" t="s">
        <v>91</v>
      </c>
      <c r="F19" s="3" t="s">
        <v>72</v>
      </c>
      <c r="G19" s="3" t="s">
        <v>38</v>
      </c>
      <c r="H19" s="3" t="str">
        <f>VLOOKUP(F19&amp;"/"&amp;G19,'Matrice et bilan'!$A$5:$B$13,2,FALSE)</f>
        <v>Élevé</v>
      </c>
      <c r="I19" s="3" t="s">
        <v>20</v>
      </c>
      <c r="J19" s="4" t="s">
        <v>101</v>
      </c>
      <c r="K19" s="3" t="s">
        <v>102</v>
      </c>
    </row>
    <row r="20" spans="1:11" ht="62" customHeight="1" x14ac:dyDescent="0.35">
      <c r="A20" s="3" t="s">
        <v>103</v>
      </c>
      <c r="B20" s="4" t="s">
        <v>76</v>
      </c>
      <c r="C20" s="4" t="s">
        <v>104</v>
      </c>
      <c r="D20" s="4" t="s">
        <v>105</v>
      </c>
      <c r="E20" s="4" t="s">
        <v>106</v>
      </c>
      <c r="F20" s="3" t="s">
        <v>72</v>
      </c>
      <c r="G20" s="3" t="s">
        <v>19</v>
      </c>
      <c r="H20" s="3" t="str">
        <f>VLOOKUP(F20&amp;"/"&amp;G20,'Matrice et bilan'!$A$5:$B$13,2,FALSE)</f>
        <v>Critique</v>
      </c>
      <c r="I20" s="3" t="s">
        <v>20</v>
      </c>
      <c r="J20" s="4" t="s">
        <v>107</v>
      </c>
      <c r="K20" s="3" t="s">
        <v>108</v>
      </c>
    </row>
    <row r="21" spans="1:11" ht="62" customHeight="1" x14ac:dyDescent="0.35">
      <c r="A21" s="3" t="s">
        <v>109</v>
      </c>
      <c r="B21" s="4" t="s">
        <v>76</v>
      </c>
      <c r="C21" s="4" t="s">
        <v>110</v>
      </c>
      <c r="D21" s="4" t="s">
        <v>111</v>
      </c>
      <c r="E21" s="4" t="s">
        <v>112</v>
      </c>
      <c r="F21" s="3" t="s">
        <v>72</v>
      </c>
      <c r="G21" s="3" t="s">
        <v>38</v>
      </c>
      <c r="H21" s="3" t="str">
        <f>VLOOKUP(F21&amp;"/"&amp;G21,'Matrice et bilan'!$A$5:$B$13,2,FALSE)</f>
        <v>Élevé</v>
      </c>
      <c r="I21" s="3" t="s">
        <v>20</v>
      </c>
      <c r="J21" s="4" t="s">
        <v>113</v>
      </c>
      <c r="K21" s="3" t="s">
        <v>114</v>
      </c>
    </row>
    <row r="22" spans="1:11" ht="62" customHeight="1" x14ac:dyDescent="0.35">
      <c r="A22" s="3" t="s">
        <v>115</v>
      </c>
      <c r="B22" s="4" t="s">
        <v>116</v>
      </c>
      <c r="C22" s="4" t="s">
        <v>117</v>
      </c>
      <c r="D22" s="4" t="s">
        <v>118</v>
      </c>
      <c r="E22" s="4" t="s">
        <v>85</v>
      </c>
      <c r="F22" s="3" t="s">
        <v>72</v>
      </c>
      <c r="G22" s="3" t="s">
        <v>19</v>
      </c>
      <c r="H22" s="3" t="str">
        <f>VLOOKUP(F22&amp;"/"&amp;G22,'Matrice et bilan'!$A$5:$B$13,2,FALSE)</f>
        <v>Critique</v>
      </c>
      <c r="I22" s="3" t="s">
        <v>20</v>
      </c>
      <c r="J22" s="4" t="s">
        <v>119</v>
      </c>
      <c r="K22" s="3" t="s">
        <v>114</v>
      </c>
    </row>
    <row r="23" spans="1:11" ht="62" customHeight="1" x14ac:dyDescent="0.35">
      <c r="A23" s="3" t="s">
        <v>120</v>
      </c>
      <c r="B23" s="4" t="s">
        <v>116</v>
      </c>
      <c r="C23" s="4" t="s">
        <v>121</v>
      </c>
      <c r="D23" s="4" t="s">
        <v>122</v>
      </c>
      <c r="E23" s="4" t="s">
        <v>123</v>
      </c>
      <c r="F23" s="3" t="s">
        <v>31</v>
      </c>
      <c r="G23" s="3" t="s">
        <v>38</v>
      </c>
      <c r="H23" s="3" t="str">
        <f>VLOOKUP(F23&amp;"/"&amp;G23,'Matrice et bilan'!$A$5:$B$13,2,FALSE)</f>
        <v>Moyen</v>
      </c>
      <c r="I23" s="3" t="s">
        <v>20</v>
      </c>
      <c r="J23" s="4" t="s">
        <v>124</v>
      </c>
      <c r="K23" s="3" t="s">
        <v>125</v>
      </c>
    </row>
    <row r="24" spans="1:11" ht="62" customHeight="1" x14ac:dyDescent="0.35">
      <c r="A24" s="3" t="s">
        <v>126</v>
      </c>
      <c r="B24" s="4" t="s">
        <v>116</v>
      </c>
      <c r="C24" s="4" t="s">
        <v>127</v>
      </c>
      <c r="D24" s="4" t="s">
        <v>128</v>
      </c>
      <c r="E24" s="4" t="s">
        <v>129</v>
      </c>
      <c r="F24" s="3" t="s">
        <v>31</v>
      </c>
      <c r="G24" s="3" t="s">
        <v>38</v>
      </c>
      <c r="H24" s="3" t="str">
        <f>VLOOKUP(F24&amp;"/"&amp;G24,'Matrice et bilan'!$A$5:$B$13,2,FALSE)</f>
        <v>Moyen</v>
      </c>
      <c r="I24" s="3" t="s">
        <v>20</v>
      </c>
      <c r="J24" s="4" t="s">
        <v>130</v>
      </c>
      <c r="K24" s="3" t="s">
        <v>125</v>
      </c>
    </row>
    <row r="25" spans="1:11" ht="62" customHeight="1" x14ac:dyDescent="0.35">
      <c r="A25" s="3" t="s">
        <v>131</v>
      </c>
      <c r="B25" s="4" t="s">
        <v>132</v>
      </c>
      <c r="C25" s="4" t="s">
        <v>133</v>
      </c>
      <c r="D25" s="4" t="s">
        <v>134</v>
      </c>
      <c r="E25" s="4" t="s">
        <v>135</v>
      </c>
      <c r="F25" s="3" t="s">
        <v>31</v>
      </c>
      <c r="G25" s="3" t="s">
        <v>19</v>
      </c>
      <c r="H25" s="3" t="str">
        <f>VLOOKUP(F25&amp;"/"&amp;G25,'Matrice et bilan'!$A$5:$B$13,2,FALSE)</f>
        <v>Élevé</v>
      </c>
      <c r="I25" s="3" t="s">
        <v>20</v>
      </c>
      <c r="J25" s="4" t="s">
        <v>136</v>
      </c>
      <c r="K25" s="3" t="s">
        <v>137</v>
      </c>
    </row>
    <row r="26" spans="1:11" ht="62" customHeight="1" x14ac:dyDescent="0.35">
      <c r="A26" s="3" t="s">
        <v>138</v>
      </c>
      <c r="B26" s="4" t="s">
        <v>132</v>
      </c>
      <c r="C26" s="4" t="s">
        <v>139</v>
      </c>
      <c r="D26" s="4" t="s">
        <v>140</v>
      </c>
      <c r="E26" s="4" t="s">
        <v>135</v>
      </c>
      <c r="F26" s="3" t="s">
        <v>72</v>
      </c>
      <c r="G26" s="3" t="s">
        <v>38</v>
      </c>
      <c r="H26" s="3" t="str">
        <f>VLOOKUP(F26&amp;"/"&amp;G26,'Matrice et bilan'!$A$5:$B$13,2,FALSE)</f>
        <v>Élevé</v>
      </c>
      <c r="I26" s="3" t="s">
        <v>20</v>
      </c>
      <c r="J26" s="4" t="s">
        <v>141</v>
      </c>
      <c r="K26" s="3" t="s">
        <v>142</v>
      </c>
    </row>
    <row r="27" spans="1:11" ht="62" customHeight="1" x14ac:dyDescent="0.35">
      <c r="A27" s="3" t="s">
        <v>143</v>
      </c>
      <c r="B27" s="4" t="s">
        <v>132</v>
      </c>
      <c r="C27" s="4" t="s">
        <v>144</v>
      </c>
      <c r="D27" s="4" t="s">
        <v>145</v>
      </c>
      <c r="E27" s="4" t="s">
        <v>146</v>
      </c>
      <c r="F27" s="3" t="s">
        <v>31</v>
      </c>
      <c r="G27" s="3" t="s">
        <v>19</v>
      </c>
      <c r="H27" s="3" t="str">
        <f>VLOOKUP(F27&amp;"/"&amp;G27,'Matrice et bilan'!$A$5:$B$13,2,FALSE)</f>
        <v>Élevé</v>
      </c>
      <c r="I27" s="3" t="s">
        <v>20</v>
      </c>
      <c r="J27" s="4" t="s">
        <v>147</v>
      </c>
      <c r="K27" s="3" t="s">
        <v>148</v>
      </c>
    </row>
    <row r="28" spans="1:11" ht="62" customHeight="1" x14ac:dyDescent="0.35">
      <c r="A28" s="3" t="s">
        <v>149</v>
      </c>
      <c r="B28" s="4" t="s">
        <v>132</v>
      </c>
      <c r="C28" s="4" t="s">
        <v>150</v>
      </c>
      <c r="D28" s="4" t="s">
        <v>151</v>
      </c>
      <c r="E28" s="4" t="s">
        <v>135</v>
      </c>
      <c r="F28" s="3" t="s">
        <v>31</v>
      </c>
      <c r="G28" s="3" t="s">
        <v>38</v>
      </c>
      <c r="H28" s="3" t="str">
        <f>VLOOKUP(F28&amp;"/"&amp;G28,'Matrice et bilan'!$A$5:$B$13,2,FALSE)</f>
        <v>Moyen</v>
      </c>
      <c r="I28" s="3" t="s">
        <v>20</v>
      </c>
      <c r="J28" s="4" t="s">
        <v>152</v>
      </c>
      <c r="K28" s="3" t="s">
        <v>153</v>
      </c>
    </row>
    <row r="29" spans="1:11" ht="62" customHeight="1" x14ac:dyDescent="0.35">
      <c r="A29" s="3" t="s">
        <v>154</v>
      </c>
      <c r="B29" s="4" t="s">
        <v>155</v>
      </c>
      <c r="C29" s="4" t="s">
        <v>156</v>
      </c>
      <c r="D29" s="4" t="s">
        <v>157</v>
      </c>
      <c r="E29" s="4" t="s">
        <v>112</v>
      </c>
      <c r="F29" s="3" t="s">
        <v>31</v>
      </c>
      <c r="G29" s="3" t="s">
        <v>19</v>
      </c>
      <c r="H29" s="3" t="str">
        <f>VLOOKUP(F29&amp;"/"&amp;G29,'Matrice et bilan'!$A$5:$B$13,2,FALSE)</f>
        <v>Élevé</v>
      </c>
      <c r="I29" s="3" t="s">
        <v>20</v>
      </c>
      <c r="J29" s="4" t="s">
        <v>158</v>
      </c>
      <c r="K29" s="3" t="s">
        <v>114</v>
      </c>
    </row>
    <row r="30" spans="1:11" ht="62" customHeight="1" x14ac:dyDescent="0.35">
      <c r="A30" s="3" t="s">
        <v>159</v>
      </c>
      <c r="B30" s="4" t="s">
        <v>155</v>
      </c>
      <c r="C30" s="4" t="s">
        <v>160</v>
      </c>
      <c r="D30" s="4" t="s">
        <v>161</v>
      </c>
      <c r="E30" s="4" t="s">
        <v>45</v>
      </c>
      <c r="F30" s="3" t="s">
        <v>31</v>
      </c>
      <c r="G30" s="3" t="s">
        <v>19</v>
      </c>
      <c r="H30" s="3" t="str">
        <f>VLOOKUP(F30&amp;"/"&amp;G30,'Matrice et bilan'!$A$5:$B$13,2,FALSE)</f>
        <v>Élevé</v>
      </c>
      <c r="I30" s="3" t="s">
        <v>20</v>
      </c>
      <c r="J30" s="4" t="s">
        <v>162</v>
      </c>
      <c r="K30" s="3" t="s">
        <v>74</v>
      </c>
    </row>
    <row r="31" spans="1:11" ht="62" customHeight="1" x14ac:dyDescent="0.35">
      <c r="A31" s="3" t="s">
        <v>163</v>
      </c>
      <c r="B31" s="4" t="s">
        <v>164</v>
      </c>
      <c r="C31" s="4" t="s">
        <v>165</v>
      </c>
      <c r="D31" s="4" t="s">
        <v>166</v>
      </c>
      <c r="E31" s="4" t="s">
        <v>167</v>
      </c>
      <c r="F31" s="3" t="s">
        <v>31</v>
      </c>
      <c r="G31" s="3" t="s">
        <v>38</v>
      </c>
      <c r="H31" s="3" t="str">
        <f>VLOOKUP(F31&amp;"/"&amp;G31,'Matrice et bilan'!$A$5:$B$13,2,FALSE)</f>
        <v>Moyen</v>
      </c>
      <c r="I31" s="3" t="s">
        <v>20</v>
      </c>
      <c r="J31" s="4" t="s">
        <v>168</v>
      </c>
      <c r="K31" s="3" t="s">
        <v>169</v>
      </c>
    </row>
    <row r="32" spans="1:11" ht="62" customHeight="1" x14ac:dyDescent="0.35">
      <c r="A32" s="3" t="s">
        <v>170</v>
      </c>
      <c r="B32" s="4" t="s">
        <v>164</v>
      </c>
      <c r="C32" s="4" t="s">
        <v>171</v>
      </c>
      <c r="D32" s="4" t="s">
        <v>172</v>
      </c>
      <c r="E32" s="4" t="s">
        <v>173</v>
      </c>
      <c r="F32" s="3" t="s">
        <v>31</v>
      </c>
      <c r="G32" s="3" t="s">
        <v>19</v>
      </c>
      <c r="H32" s="3" t="str">
        <f>VLOOKUP(F32&amp;"/"&amp;G32,'Matrice et bilan'!$A$5:$B$13,2,FALSE)</f>
        <v>Élevé</v>
      </c>
      <c r="I32" s="3" t="s">
        <v>20</v>
      </c>
      <c r="J32" s="4" t="s">
        <v>174</v>
      </c>
      <c r="K32" s="3" t="s">
        <v>175</v>
      </c>
    </row>
    <row r="33" spans="1:11" ht="62" customHeight="1" x14ac:dyDescent="0.35">
      <c r="A33" s="3" t="s">
        <v>176</v>
      </c>
      <c r="B33" s="4" t="s">
        <v>177</v>
      </c>
      <c r="C33" s="4" t="s">
        <v>178</v>
      </c>
      <c r="D33" s="4" t="s">
        <v>179</v>
      </c>
      <c r="E33" s="4" t="s">
        <v>180</v>
      </c>
      <c r="F33" s="3" t="s">
        <v>31</v>
      </c>
      <c r="G33" s="3" t="s">
        <v>38</v>
      </c>
      <c r="H33" s="3" t="str">
        <f>VLOOKUP(F33&amp;"/"&amp;G33,'Matrice et bilan'!$A$5:$B$13,2,FALSE)</f>
        <v>Moyen</v>
      </c>
      <c r="I33" s="3" t="s">
        <v>20</v>
      </c>
      <c r="J33" s="4" t="s">
        <v>181</v>
      </c>
      <c r="K33" s="3" t="s">
        <v>182</v>
      </c>
    </row>
    <row r="34" spans="1:11" ht="62" customHeight="1" x14ac:dyDescent="0.35">
      <c r="A34" s="3" t="s">
        <v>183</v>
      </c>
      <c r="B34" s="4" t="s">
        <v>177</v>
      </c>
      <c r="C34" s="4" t="s">
        <v>184</v>
      </c>
      <c r="D34" s="4" t="s">
        <v>185</v>
      </c>
      <c r="E34" s="4" t="s">
        <v>186</v>
      </c>
      <c r="F34" s="3" t="s">
        <v>31</v>
      </c>
      <c r="G34" s="3" t="s">
        <v>38</v>
      </c>
      <c r="H34" s="3" t="str">
        <f>VLOOKUP(F34&amp;"/"&amp;G34,'Matrice et bilan'!$A$5:$B$13,2,FALSE)</f>
        <v>Moyen</v>
      </c>
      <c r="I34" s="3" t="s">
        <v>187</v>
      </c>
      <c r="J34" s="4" t="s">
        <v>188</v>
      </c>
      <c r="K34" s="3" t="s">
        <v>189</v>
      </c>
    </row>
  </sheetData>
  <autoFilter ref="A4:K34" xr:uid="{00000000-0009-0000-0000-000000000000}"/>
  <mergeCells count="3">
    <mergeCell ref="A1:K1"/>
    <mergeCell ref="A2:K2"/>
    <mergeCell ref="A3:K3"/>
  </mergeCells>
  <conditionalFormatting sqref="H5:H34">
    <cfRule type="cellIs" dxfId="3" priority="1" operator="equal">
      <formula>"Critique"</formula>
    </cfRule>
    <cfRule type="cellIs" dxfId="2" priority="2" operator="equal">
      <formula>"Élevé"</formula>
    </cfRule>
    <cfRule type="cellIs" dxfId="1" priority="3" operator="equal">
      <formula>"Moyen"</formula>
    </cfRule>
    <cfRule type="cellIs" dxfId="0" priority="4" operator="equal">
      <formula>"Faible"</formula>
    </cfRule>
  </conditionalFormatting>
  <dataValidations count="3">
    <dataValidation type="list" allowBlank="1" showInputMessage="1" showErrorMessage="1" sqref="F5:F34" xr:uid="{00000000-0002-0000-0000-000000000000}">
      <formula1>"Faible,Moyenne,Élevée"</formula1>
    </dataValidation>
    <dataValidation type="list" allowBlank="1" showInputMessage="1" showErrorMessage="1" sqref="G5:G34" xr:uid="{00000000-0002-0000-0000-000001000000}">
      <formula1>"Faible,Moyen,Élevé"</formula1>
    </dataValidation>
    <dataValidation type="list" allowBlank="1" showInputMessage="1" showErrorMessage="1" sqref="I5:I34" xr:uid="{00000000-0002-0000-0000-000002000000}">
      <formula1>"Réduire,Éviter,Transférer,Accepter"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7265625" defaultRowHeight="14.5" x14ac:dyDescent="0.35"/>
  <cols>
    <col min="1" max="1" width="8.7265625" customWidth="1"/>
    <col min="2" max="2" width="46.7265625" customWidth="1"/>
    <col min="3" max="3" width="12.7265625" customWidth="1"/>
    <col min="4" max="4" width="13.7265625" customWidth="1"/>
    <col min="5" max="5" width="28.7265625" customWidth="1"/>
    <col min="6" max="6" width="24.7265625" customWidth="1"/>
    <col min="7" max="7" width="20.7265625" customWidth="1"/>
    <col min="8" max="8" width="70.7265625" customWidth="1"/>
  </cols>
  <sheetData>
    <row r="1" spans="1:8" ht="18.5" x14ac:dyDescent="0.35">
      <c r="A1" s="10" t="s">
        <v>190</v>
      </c>
      <c r="B1" s="10"/>
      <c r="C1" s="10"/>
      <c r="D1" s="10"/>
      <c r="E1" s="10"/>
      <c r="F1" s="10"/>
      <c r="G1" s="10"/>
      <c r="H1" s="10"/>
    </row>
    <row r="2" spans="1:8" ht="30" customHeight="1" x14ac:dyDescent="0.35">
      <c r="A2" s="12" t="s">
        <v>191</v>
      </c>
      <c r="B2" s="12"/>
      <c r="C2" s="12"/>
      <c r="D2" s="12"/>
      <c r="E2" s="12"/>
      <c r="F2" s="12"/>
      <c r="G2" s="12"/>
      <c r="H2" s="12"/>
    </row>
    <row r="4" spans="1:8" ht="30" customHeight="1" x14ac:dyDescent="0.35">
      <c r="A4" s="2" t="s">
        <v>2</v>
      </c>
      <c r="B4" s="2" t="s">
        <v>192</v>
      </c>
      <c r="C4" s="2" t="s">
        <v>193</v>
      </c>
      <c r="D4" s="2" t="s">
        <v>194</v>
      </c>
      <c r="E4" s="2" t="s">
        <v>195</v>
      </c>
      <c r="F4" s="2" t="s">
        <v>196</v>
      </c>
      <c r="G4" s="2" t="s">
        <v>197</v>
      </c>
      <c r="H4" s="2" t="s">
        <v>198</v>
      </c>
    </row>
    <row r="5" spans="1:8" ht="58" customHeight="1" x14ac:dyDescent="0.35">
      <c r="A5" s="3" t="s">
        <v>13</v>
      </c>
      <c r="B5" s="4" t="s">
        <v>199</v>
      </c>
      <c r="C5" s="5" t="s">
        <v>38</v>
      </c>
      <c r="D5" s="6" t="s">
        <v>200</v>
      </c>
      <c r="E5" s="3" t="s">
        <v>201</v>
      </c>
      <c r="F5" s="3" t="s">
        <v>201</v>
      </c>
      <c r="G5" s="3" t="s">
        <v>201</v>
      </c>
      <c r="H5" s="4" t="s">
        <v>202</v>
      </c>
    </row>
    <row r="6" spans="1:8" ht="58" customHeight="1" x14ac:dyDescent="0.35">
      <c r="A6" s="3" t="s">
        <v>23</v>
      </c>
      <c r="B6" s="4" t="s">
        <v>25</v>
      </c>
      <c r="C6" s="5" t="s">
        <v>38</v>
      </c>
      <c r="D6" s="6" t="s">
        <v>200</v>
      </c>
      <c r="E6" s="3" t="s">
        <v>201</v>
      </c>
      <c r="F6" s="3" t="s">
        <v>201</v>
      </c>
      <c r="G6" s="3" t="s">
        <v>201</v>
      </c>
      <c r="H6" s="4" t="s">
        <v>203</v>
      </c>
    </row>
    <row r="7" spans="1:8" ht="58" customHeight="1" x14ac:dyDescent="0.35">
      <c r="A7" s="3" t="s">
        <v>27</v>
      </c>
      <c r="B7" s="4" t="s">
        <v>204</v>
      </c>
      <c r="C7" s="7" t="s">
        <v>19</v>
      </c>
      <c r="D7" s="6" t="s">
        <v>200</v>
      </c>
      <c r="E7" s="3" t="s">
        <v>201</v>
      </c>
      <c r="F7" s="3" t="s">
        <v>201</v>
      </c>
      <c r="G7" s="3" t="s">
        <v>201</v>
      </c>
      <c r="H7" s="4" t="s">
        <v>205</v>
      </c>
    </row>
    <row r="8" spans="1:8" ht="58" customHeight="1" x14ac:dyDescent="0.35">
      <c r="A8" s="3" t="s">
        <v>34</v>
      </c>
      <c r="B8" s="4" t="s">
        <v>36</v>
      </c>
      <c r="C8" s="5" t="s">
        <v>38</v>
      </c>
      <c r="D8" s="5" t="s">
        <v>206</v>
      </c>
      <c r="E8" s="3" t="s">
        <v>207</v>
      </c>
      <c r="F8" s="3" t="s">
        <v>208</v>
      </c>
      <c r="G8" s="3" t="s">
        <v>209</v>
      </c>
      <c r="H8" s="4" t="s">
        <v>210</v>
      </c>
    </row>
    <row r="9" spans="1:8" ht="58" customHeight="1" x14ac:dyDescent="0.35">
      <c r="A9" s="3" t="s">
        <v>41</v>
      </c>
      <c r="B9" s="4" t="s">
        <v>211</v>
      </c>
      <c r="C9" s="7" t="s">
        <v>19</v>
      </c>
      <c r="D9" s="5" t="s">
        <v>206</v>
      </c>
      <c r="E9" s="3" t="s">
        <v>212</v>
      </c>
      <c r="F9" s="3" t="s">
        <v>213</v>
      </c>
      <c r="G9" s="3" t="s">
        <v>209</v>
      </c>
      <c r="H9" s="4" t="s">
        <v>214</v>
      </c>
    </row>
    <row r="10" spans="1:8" ht="58" customHeight="1" x14ac:dyDescent="0.35">
      <c r="A10" s="3" t="s">
        <v>48</v>
      </c>
      <c r="B10" s="4" t="s">
        <v>215</v>
      </c>
      <c r="C10" s="5" t="s">
        <v>38</v>
      </c>
      <c r="D10" s="6" t="s">
        <v>200</v>
      </c>
      <c r="E10" s="3" t="s">
        <v>201</v>
      </c>
      <c r="F10" s="3" t="s">
        <v>201</v>
      </c>
      <c r="G10" s="3" t="s">
        <v>201</v>
      </c>
      <c r="H10" s="4" t="s">
        <v>216</v>
      </c>
    </row>
    <row r="11" spans="1:8" ht="58" customHeight="1" x14ac:dyDescent="0.35">
      <c r="A11" s="3" t="s">
        <v>52</v>
      </c>
      <c r="B11" s="4" t="s">
        <v>217</v>
      </c>
      <c r="C11" s="7" t="s">
        <v>19</v>
      </c>
      <c r="D11" s="6" t="s">
        <v>200</v>
      </c>
      <c r="E11" s="3" t="s">
        <v>201</v>
      </c>
      <c r="F11" s="3" t="s">
        <v>201</v>
      </c>
      <c r="G11" s="3" t="s">
        <v>201</v>
      </c>
      <c r="H11" s="4" t="s">
        <v>218</v>
      </c>
    </row>
    <row r="12" spans="1:8" ht="58" customHeight="1" x14ac:dyDescent="0.35">
      <c r="A12" s="3" t="s">
        <v>58</v>
      </c>
      <c r="B12" s="4" t="s">
        <v>219</v>
      </c>
      <c r="C12" s="7" t="s">
        <v>19</v>
      </c>
      <c r="D12" s="6" t="s">
        <v>200</v>
      </c>
      <c r="E12" s="3" t="s">
        <v>201</v>
      </c>
      <c r="F12" s="3" t="s">
        <v>201</v>
      </c>
      <c r="G12" s="3" t="s">
        <v>201</v>
      </c>
      <c r="H12" s="4" t="s">
        <v>220</v>
      </c>
    </row>
    <row r="13" spans="1:8" ht="58" customHeight="1" x14ac:dyDescent="0.35">
      <c r="A13" s="3" t="s">
        <v>64</v>
      </c>
      <c r="B13" s="4" t="s">
        <v>221</v>
      </c>
      <c r="C13" s="7" t="s">
        <v>19</v>
      </c>
      <c r="D13" s="5" t="s">
        <v>206</v>
      </c>
      <c r="E13" s="3" t="s">
        <v>222</v>
      </c>
      <c r="F13" s="3" t="s">
        <v>223</v>
      </c>
      <c r="G13" s="3" t="s">
        <v>224</v>
      </c>
      <c r="H13" s="4" t="s">
        <v>225</v>
      </c>
    </row>
    <row r="14" spans="1:8" ht="58" customHeight="1" x14ac:dyDescent="0.35">
      <c r="A14" s="3" t="s">
        <v>68</v>
      </c>
      <c r="B14" s="4" t="s">
        <v>70</v>
      </c>
      <c r="C14" s="7" t="s">
        <v>19</v>
      </c>
      <c r="D14" s="8" t="s">
        <v>226</v>
      </c>
      <c r="E14" s="3" t="s">
        <v>227</v>
      </c>
      <c r="F14" s="3" t="s">
        <v>228</v>
      </c>
      <c r="G14" s="3" t="s">
        <v>224</v>
      </c>
      <c r="H14" s="4" t="s">
        <v>229</v>
      </c>
    </row>
    <row r="15" spans="1:8" ht="58" customHeight="1" x14ac:dyDescent="0.35">
      <c r="A15" s="3" t="s">
        <v>75</v>
      </c>
      <c r="B15" s="4" t="s">
        <v>78</v>
      </c>
      <c r="C15" s="6" t="s">
        <v>230</v>
      </c>
      <c r="D15" s="8" t="s">
        <v>226</v>
      </c>
      <c r="E15" s="3" t="s">
        <v>231</v>
      </c>
      <c r="F15" s="3" t="s">
        <v>232</v>
      </c>
      <c r="G15" s="3" t="s">
        <v>209</v>
      </c>
      <c r="H15" s="4" t="s">
        <v>233</v>
      </c>
    </row>
    <row r="16" spans="1:8" ht="58" customHeight="1" x14ac:dyDescent="0.35">
      <c r="A16" s="3" t="s">
        <v>82</v>
      </c>
      <c r="B16" s="4" t="s">
        <v>84</v>
      </c>
      <c r="C16" s="7" t="s">
        <v>19</v>
      </c>
      <c r="D16" s="8" t="s">
        <v>226</v>
      </c>
      <c r="E16" s="3" t="s">
        <v>234</v>
      </c>
      <c r="F16" s="3" t="s">
        <v>235</v>
      </c>
      <c r="G16" s="3" t="s">
        <v>224</v>
      </c>
      <c r="H16" s="4" t="s">
        <v>236</v>
      </c>
    </row>
    <row r="17" spans="1:8" ht="58" customHeight="1" x14ac:dyDescent="0.35">
      <c r="A17" s="3" t="s">
        <v>88</v>
      </c>
      <c r="B17" s="4" t="s">
        <v>237</v>
      </c>
      <c r="C17" s="6" t="s">
        <v>230</v>
      </c>
      <c r="D17" s="8" t="s">
        <v>226</v>
      </c>
      <c r="E17" s="3" t="s">
        <v>238</v>
      </c>
      <c r="F17" s="3" t="s">
        <v>239</v>
      </c>
      <c r="G17" s="3" t="s">
        <v>209</v>
      </c>
      <c r="H17" s="4" t="s">
        <v>240</v>
      </c>
    </row>
    <row r="18" spans="1:8" ht="58" customHeight="1" x14ac:dyDescent="0.35">
      <c r="A18" s="3" t="s">
        <v>94</v>
      </c>
      <c r="B18" s="4" t="s">
        <v>96</v>
      </c>
      <c r="C18" s="6" t="s">
        <v>230</v>
      </c>
      <c r="D18" s="8" t="s">
        <v>226</v>
      </c>
      <c r="E18" s="3" t="s">
        <v>241</v>
      </c>
      <c r="F18" s="3" t="s">
        <v>242</v>
      </c>
      <c r="G18" s="3" t="s">
        <v>209</v>
      </c>
      <c r="H18" s="4" t="s">
        <v>243</v>
      </c>
    </row>
    <row r="19" spans="1:8" ht="58" customHeight="1" x14ac:dyDescent="0.35">
      <c r="A19" s="3" t="s">
        <v>98</v>
      </c>
      <c r="B19" s="4" t="s">
        <v>244</v>
      </c>
      <c r="C19" s="7" t="s">
        <v>19</v>
      </c>
      <c r="D19" s="8" t="s">
        <v>226</v>
      </c>
      <c r="E19" s="3" t="s">
        <v>245</v>
      </c>
      <c r="F19" s="3" t="s">
        <v>246</v>
      </c>
      <c r="G19" s="3" t="s">
        <v>224</v>
      </c>
      <c r="H19" s="4" t="s">
        <v>247</v>
      </c>
    </row>
    <row r="20" spans="1:8" ht="58" customHeight="1" x14ac:dyDescent="0.35">
      <c r="A20" s="3" t="s">
        <v>103</v>
      </c>
      <c r="B20" s="4" t="s">
        <v>105</v>
      </c>
      <c r="C20" s="6" t="s">
        <v>230</v>
      </c>
      <c r="D20" s="8" t="s">
        <v>226</v>
      </c>
      <c r="E20" s="3" t="s">
        <v>248</v>
      </c>
      <c r="F20" s="3" t="s">
        <v>249</v>
      </c>
      <c r="G20" s="3" t="s">
        <v>250</v>
      </c>
      <c r="H20" s="4" t="s">
        <v>251</v>
      </c>
    </row>
    <row r="21" spans="1:8" ht="58" customHeight="1" x14ac:dyDescent="0.35">
      <c r="A21" s="3" t="s">
        <v>109</v>
      </c>
      <c r="B21" s="4" t="s">
        <v>111</v>
      </c>
      <c r="C21" s="7" t="s">
        <v>19</v>
      </c>
      <c r="D21" s="8" t="s">
        <v>226</v>
      </c>
      <c r="E21" s="3" t="s">
        <v>252</v>
      </c>
      <c r="F21" s="3" t="s">
        <v>253</v>
      </c>
      <c r="G21" s="3" t="s">
        <v>224</v>
      </c>
      <c r="H21" s="4" t="s">
        <v>254</v>
      </c>
    </row>
    <row r="22" spans="1:8" ht="58" customHeight="1" x14ac:dyDescent="0.35">
      <c r="A22" s="3" t="s">
        <v>115</v>
      </c>
      <c r="B22" s="4" t="s">
        <v>118</v>
      </c>
      <c r="C22" s="6" t="s">
        <v>230</v>
      </c>
      <c r="D22" s="8" t="s">
        <v>226</v>
      </c>
      <c r="E22" s="3" t="s">
        <v>255</v>
      </c>
      <c r="F22" s="3" t="s">
        <v>256</v>
      </c>
      <c r="G22" s="3" t="s">
        <v>250</v>
      </c>
      <c r="H22" s="4" t="s">
        <v>257</v>
      </c>
    </row>
    <row r="23" spans="1:8" ht="58" customHeight="1" x14ac:dyDescent="0.35">
      <c r="A23" s="3" t="s">
        <v>120</v>
      </c>
      <c r="B23" s="4" t="s">
        <v>122</v>
      </c>
      <c r="C23" s="5" t="s">
        <v>38</v>
      </c>
      <c r="D23" s="8" t="s">
        <v>226</v>
      </c>
      <c r="E23" s="3" t="s">
        <v>258</v>
      </c>
      <c r="F23" s="3" t="s">
        <v>259</v>
      </c>
      <c r="G23" s="3" t="s">
        <v>224</v>
      </c>
      <c r="H23" s="4" t="s">
        <v>260</v>
      </c>
    </row>
    <row r="24" spans="1:8" ht="58" customHeight="1" x14ac:dyDescent="0.35">
      <c r="A24" s="3" t="s">
        <v>126</v>
      </c>
      <c r="B24" s="4" t="s">
        <v>128</v>
      </c>
      <c r="C24" s="5" t="s">
        <v>38</v>
      </c>
      <c r="D24" s="8" t="s">
        <v>226</v>
      </c>
      <c r="E24" s="3" t="s">
        <v>261</v>
      </c>
      <c r="F24" s="3" t="s">
        <v>262</v>
      </c>
      <c r="G24" s="3" t="s">
        <v>224</v>
      </c>
      <c r="H24" s="4" t="s">
        <v>263</v>
      </c>
    </row>
    <row r="25" spans="1:8" ht="58" customHeight="1" x14ac:dyDescent="0.35">
      <c r="A25" s="3" t="s">
        <v>131</v>
      </c>
      <c r="B25" s="4" t="s">
        <v>134</v>
      </c>
      <c r="C25" s="7" t="s">
        <v>19</v>
      </c>
      <c r="D25" s="8" t="s">
        <v>226</v>
      </c>
      <c r="E25" s="3" t="s">
        <v>264</v>
      </c>
      <c r="F25" s="3" t="s">
        <v>265</v>
      </c>
      <c r="G25" s="3" t="s">
        <v>224</v>
      </c>
      <c r="H25" s="4" t="s">
        <v>266</v>
      </c>
    </row>
    <row r="26" spans="1:8" ht="58" customHeight="1" x14ac:dyDescent="0.35">
      <c r="A26" s="3" t="s">
        <v>138</v>
      </c>
      <c r="B26" s="4" t="s">
        <v>140</v>
      </c>
      <c r="C26" s="7" t="s">
        <v>19</v>
      </c>
      <c r="D26" s="5" t="s">
        <v>206</v>
      </c>
      <c r="E26" s="3" t="s">
        <v>267</v>
      </c>
      <c r="F26" s="3" t="s">
        <v>268</v>
      </c>
      <c r="G26" s="3" t="s">
        <v>209</v>
      </c>
      <c r="H26" s="4" t="s">
        <v>269</v>
      </c>
    </row>
    <row r="27" spans="1:8" ht="58" customHeight="1" x14ac:dyDescent="0.35">
      <c r="A27" s="3" t="s">
        <v>143</v>
      </c>
      <c r="B27" s="4" t="s">
        <v>270</v>
      </c>
      <c r="C27" s="7" t="s">
        <v>19</v>
      </c>
      <c r="D27" s="5" t="s">
        <v>206</v>
      </c>
      <c r="E27" s="3" t="s">
        <v>271</v>
      </c>
      <c r="F27" s="3" t="s">
        <v>272</v>
      </c>
      <c r="G27" s="3" t="s">
        <v>224</v>
      </c>
      <c r="H27" s="4" t="s">
        <v>273</v>
      </c>
    </row>
    <row r="28" spans="1:8" ht="58" customHeight="1" x14ac:dyDescent="0.35">
      <c r="A28" s="3" t="s">
        <v>149</v>
      </c>
      <c r="B28" s="4" t="s">
        <v>151</v>
      </c>
      <c r="C28" s="5" t="s">
        <v>38</v>
      </c>
      <c r="D28" s="5" t="s">
        <v>206</v>
      </c>
      <c r="E28" s="3" t="s">
        <v>274</v>
      </c>
      <c r="F28" s="3" t="s">
        <v>208</v>
      </c>
      <c r="G28" s="3" t="s">
        <v>209</v>
      </c>
      <c r="H28" s="4" t="s">
        <v>275</v>
      </c>
    </row>
    <row r="29" spans="1:8" ht="58" customHeight="1" x14ac:dyDescent="0.35">
      <c r="A29" s="3" t="s">
        <v>154</v>
      </c>
      <c r="B29" s="4" t="s">
        <v>276</v>
      </c>
      <c r="C29" s="7" t="s">
        <v>19</v>
      </c>
      <c r="D29" s="8" t="s">
        <v>226</v>
      </c>
      <c r="E29" s="3" t="s">
        <v>277</v>
      </c>
      <c r="F29" s="3" t="s">
        <v>239</v>
      </c>
      <c r="G29" s="3" t="s">
        <v>224</v>
      </c>
      <c r="H29" s="4" t="s">
        <v>278</v>
      </c>
    </row>
    <row r="30" spans="1:8" ht="58" customHeight="1" x14ac:dyDescent="0.35">
      <c r="A30" s="3" t="s">
        <v>159</v>
      </c>
      <c r="B30" s="4" t="s">
        <v>279</v>
      </c>
      <c r="C30" s="7" t="s">
        <v>19</v>
      </c>
      <c r="D30" s="8" t="s">
        <v>226</v>
      </c>
      <c r="E30" s="3" t="s">
        <v>280</v>
      </c>
      <c r="F30" s="3" t="s">
        <v>242</v>
      </c>
      <c r="G30" s="3" t="s">
        <v>224</v>
      </c>
      <c r="H30" s="4" t="s">
        <v>281</v>
      </c>
    </row>
    <row r="31" spans="1:8" ht="58" customHeight="1" x14ac:dyDescent="0.35">
      <c r="A31" s="3" t="s">
        <v>163</v>
      </c>
      <c r="B31" s="4" t="s">
        <v>282</v>
      </c>
      <c r="C31" s="5" t="s">
        <v>38</v>
      </c>
      <c r="D31" s="5" t="s">
        <v>206</v>
      </c>
      <c r="E31" s="3" t="s">
        <v>283</v>
      </c>
      <c r="F31" s="3" t="s">
        <v>253</v>
      </c>
      <c r="G31" s="3" t="s">
        <v>284</v>
      </c>
      <c r="H31" s="4" t="s">
        <v>285</v>
      </c>
    </row>
    <row r="32" spans="1:8" ht="58" customHeight="1" x14ac:dyDescent="0.35">
      <c r="A32" s="3" t="s">
        <v>170</v>
      </c>
      <c r="B32" s="4" t="s">
        <v>286</v>
      </c>
      <c r="C32" s="7" t="s">
        <v>19</v>
      </c>
      <c r="D32" s="8" t="s">
        <v>226</v>
      </c>
      <c r="E32" s="3" t="s">
        <v>287</v>
      </c>
      <c r="F32" s="3" t="s">
        <v>265</v>
      </c>
      <c r="G32" s="3" t="s">
        <v>224</v>
      </c>
      <c r="H32" s="4" t="s">
        <v>288</v>
      </c>
    </row>
    <row r="33" spans="1:8" ht="58" customHeight="1" x14ac:dyDescent="0.35">
      <c r="A33" s="3" t="s">
        <v>176</v>
      </c>
      <c r="B33" s="4" t="s">
        <v>179</v>
      </c>
      <c r="C33" s="5" t="s">
        <v>38</v>
      </c>
      <c r="D33" s="6" t="s">
        <v>200</v>
      </c>
      <c r="E33" s="3" t="s">
        <v>201</v>
      </c>
      <c r="F33" s="3" t="s">
        <v>201</v>
      </c>
      <c r="G33" s="3" t="s">
        <v>201</v>
      </c>
      <c r="H33" s="4" t="s">
        <v>289</v>
      </c>
    </row>
    <row r="34" spans="1:8" ht="58" customHeight="1" x14ac:dyDescent="0.35">
      <c r="A34" s="3" t="s">
        <v>183</v>
      </c>
      <c r="B34" s="4" t="s">
        <v>290</v>
      </c>
      <c r="C34" s="5" t="s">
        <v>38</v>
      </c>
      <c r="D34" s="8" t="s">
        <v>226</v>
      </c>
      <c r="E34" s="3" t="s">
        <v>291</v>
      </c>
      <c r="F34" s="3" t="s">
        <v>292</v>
      </c>
      <c r="G34" s="3" t="s">
        <v>224</v>
      </c>
      <c r="H34" s="4" t="s">
        <v>293</v>
      </c>
    </row>
  </sheetData>
  <autoFilter ref="A4:H34" xr:uid="{00000000-0009-0000-0000-000001000000}"/>
  <mergeCells count="2">
    <mergeCell ref="A1:H1"/>
    <mergeCell ref="A2:H2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workbookViewId="0"/>
  </sheetViews>
  <sheetFormatPr baseColWidth="10" defaultColWidth="8.7265625" defaultRowHeight="14.5" x14ac:dyDescent="0.35"/>
  <cols>
    <col min="1" max="1" width="36.7265625" customWidth="1"/>
    <col min="2" max="5" width="16.7265625" customWidth="1"/>
  </cols>
  <sheetData>
    <row r="1" spans="1:7" ht="18.5" x14ac:dyDescent="0.35">
      <c r="A1" s="1" t="s">
        <v>294</v>
      </c>
    </row>
    <row r="3" spans="1:7" ht="26" x14ac:dyDescent="0.35">
      <c r="A3" s="9" t="s">
        <v>295</v>
      </c>
      <c r="D3" s="9" t="s">
        <v>306</v>
      </c>
    </row>
    <row r="4" spans="1:7" x14ac:dyDescent="0.35">
      <c r="A4" s="2" t="s">
        <v>296</v>
      </c>
      <c r="B4" s="2" t="s">
        <v>9</v>
      </c>
      <c r="D4" s="2" t="s">
        <v>307</v>
      </c>
      <c r="E4" s="2" t="s">
        <v>18</v>
      </c>
      <c r="F4" s="2" t="s">
        <v>38</v>
      </c>
      <c r="G4" s="2" t="s">
        <v>19</v>
      </c>
    </row>
    <row r="5" spans="1:7" x14ac:dyDescent="0.35">
      <c r="A5" s="4" t="s">
        <v>297</v>
      </c>
      <c r="B5" s="5" t="s">
        <v>38</v>
      </c>
      <c r="D5" s="9" t="s">
        <v>72</v>
      </c>
      <c r="E5" s="5" t="s">
        <v>38</v>
      </c>
      <c r="F5" s="7" t="s">
        <v>19</v>
      </c>
      <c r="G5" s="6" t="s">
        <v>230</v>
      </c>
    </row>
    <row r="6" spans="1:7" x14ac:dyDescent="0.35">
      <c r="A6" s="4" t="s">
        <v>298</v>
      </c>
      <c r="B6" s="7" t="s">
        <v>19</v>
      </c>
      <c r="D6" s="9" t="s">
        <v>31</v>
      </c>
      <c r="E6" s="8" t="s">
        <v>18</v>
      </c>
      <c r="F6" s="5" t="s">
        <v>38</v>
      </c>
      <c r="G6" s="7" t="s">
        <v>19</v>
      </c>
    </row>
    <row r="7" spans="1:7" x14ac:dyDescent="0.35">
      <c r="A7" s="4" t="s">
        <v>299</v>
      </c>
      <c r="B7" s="6" t="s">
        <v>230</v>
      </c>
      <c r="D7" s="9" t="s">
        <v>18</v>
      </c>
      <c r="E7" s="8" t="s">
        <v>18</v>
      </c>
      <c r="F7" s="8" t="s">
        <v>18</v>
      </c>
      <c r="G7" s="5" t="s">
        <v>38</v>
      </c>
    </row>
    <row r="8" spans="1:7" x14ac:dyDescent="0.35">
      <c r="A8" s="4" t="s">
        <v>300</v>
      </c>
      <c r="B8" s="8" t="s">
        <v>18</v>
      </c>
    </row>
    <row r="9" spans="1:7" x14ac:dyDescent="0.35">
      <c r="A9" s="4" t="s">
        <v>301</v>
      </c>
      <c r="B9" s="5" t="s">
        <v>38</v>
      </c>
    </row>
    <row r="10" spans="1:7" x14ac:dyDescent="0.35">
      <c r="A10" s="4" t="s">
        <v>302</v>
      </c>
      <c r="B10" s="7" t="s">
        <v>19</v>
      </c>
    </row>
    <row r="11" spans="1:7" x14ac:dyDescent="0.35">
      <c r="A11" s="4" t="s">
        <v>303</v>
      </c>
      <c r="B11" s="8" t="s">
        <v>18</v>
      </c>
    </row>
    <row r="12" spans="1:7" x14ac:dyDescent="0.35">
      <c r="A12" s="4" t="s">
        <v>304</v>
      </c>
      <c r="B12" s="8" t="s">
        <v>18</v>
      </c>
    </row>
    <row r="13" spans="1:7" x14ac:dyDescent="0.35">
      <c r="A13" s="4" t="s">
        <v>305</v>
      </c>
      <c r="B13" s="5" t="s">
        <v>38</v>
      </c>
    </row>
    <row r="16" spans="1:7" x14ac:dyDescent="0.35">
      <c r="A16" s="9" t="s">
        <v>308</v>
      </c>
    </row>
    <row r="17" spans="1:5" x14ac:dyDescent="0.35">
      <c r="A17" s="2" t="s">
        <v>9</v>
      </c>
      <c r="B17" s="2" t="s">
        <v>309</v>
      </c>
      <c r="C17" s="2" t="s">
        <v>310</v>
      </c>
      <c r="D17" s="2" t="s">
        <v>311</v>
      </c>
      <c r="E17" s="2" t="s">
        <v>312</v>
      </c>
    </row>
    <row r="18" spans="1:5" x14ac:dyDescent="0.35">
      <c r="A18" s="6" t="s">
        <v>230</v>
      </c>
      <c r="B18" s="3">
        <v>5</v>
      </c>
      <c r="C18" s="3">
        <v>17</v>
      </c>
      <c r="D18" s="3">
        <v>75</v>
      </c>
      <c r="E18" s="3">
        <v>56</v>
      </c>
    </row>
    <row r="19" spans="1:5" x14ac:dyDescent="0.35">
      <c r="A19" s="7" t="s">
        <v>19</v>
      </c>
      <c r="B19" s="3">
        <v>15</v>
      </c>
      <c r="C19" s="3">
        <v>50</v>
      </c>
      <c r="D19" s="3">
        <v>35</v>
      </c>
      <c r="E19" s="3">
        <v>26</v>
      </c>
    </row>
    <row r="20" spans="1:5" x14ac:dyDescent="0.35">
      <c r="A20" s="5" t="s">
        <v>38</v>
      </c>
      <c r="B20" s="3">
        <v>10</v>
      </c>
      <c r="C20" s="3">
        <v>33</v>
      </c>
      <c r="D20" s="3">
        <v>13</v>
      </c>
      <c r="E20" s="3">
        <v>10</v>
      </c>
    </row>
    <row r="21" spans="1:5" x14ac:dyDescent="0.35">
      <c r="A21" s="8" t="s">
        <v>18</v>
      </c>
      <c r="B21" s="3">
        <v>0</v>
      </c>
      <c r="C21" s="3">
        <v>0</v>
      </c>
      <c r="D21" s="3">
        <v>12</v>
      </c>
      <c r="E21" s="3">
        <v>9</v>
      </c>
    </row>
    <row r="23" spans="1:5" ht="26" x14ac:dyDescent="0.35">
      <c r="A23" s="9" t="s">
        <v>313</v>
      </c>
    </row>
    <row r="24" spans="1:5" x14ac:dyDescent="0.35">
      <c r="A24" s="2" t="s">
        <v>314</v>
      </c>
      <c r="B24" s="2" t="s">
        <v>315</v>
      </c>
    </row>
    <row r="25" spans="1:5" x14ac:dyDescent="0.35">
      <c r="A25" s="8" t="s">
        <v>226</v>
      </c>
      <c r="B25" s="3">
        <v>16</v>
      </c>
    </row>
    <row r="26" spans="1:5" x14ac:dyDescent="0.35">
      <c r="A26" s="5" t="s">
        <v>206</v>
      </c>
      <c r="B26" s="3">
        <v>7</v>
      </c>
    </row>
    <row r="27" spans="1:5" x14ac:dyDescent="0.35">
      <c r="A27" s="6" t="s">
        <v>200</v>
      </c>
      <c r="B27" s="3">
        <v>7</v>
      </c>
    </row>
    <row r="29" spans="1:5" ht="26" x14ac:dyDescent="0.35">
      <c r="A29" s="9" t="s">
        <v>316</v>
      </c>
    </row>
    <row r="30" spans="1:5" x14ac:dyDescent="0.35">
      <c r="A30" s="4" t="s">
        <v>209</v>
      </c>
      <c r="B30" s="3">
        <v>7</v>
      </c>
    </row>
    <row r="31" spans="1:5" x14ac:dyDescent="0.35">
      <c r="A31" s="4" t="s">
        <v>317</v>
      </c>
      <c r="B31" s="3">
        <v>14</v>
      </c>
    </row>
    <row r="32" spans="1:5" x14ac:dyDescent="0.35">
      <c r="A32" s="4" t="s">
        <v>318</v>
      </c>
      <c r="B32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Analyse de référence</vt:lpstr>
      <vt:lpstr>Comparaison avec les agents</vt:lpstr>
      <vt:lpstr>Matrice et bilan</vt:lpstr>
      <vt:lpstr>'Analyse de référence'!Impression_des_titres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Analyse de risques de référence — SanteTech</dc:title>
  <dc:subject>Projet E21</dc:subject>
  <dc:creator>Groupe E21 (Melvin RAIMBAULT, Lucas HUARD, Jérémy LESSA, David AMARO MONTEIRO)</dc:creator>
  <dc:description>Établi le 15/10/2026 avec l'assistance de Claude Sonnet 5.5, à partir des pièces du cas et de risques classiques, avant le rapprochement avec le registre des agents.</dc:description>
  <cp:lastModifiedBy>Melvin RAIMBAULT</cp:lastModifiedBy>
  <dcterms:created xsi:type="dcterms:W3CDTF">2026-10-15T06:43:10Z</dcterms:created>
  <dcterms:modified xsi:type="dcterms:W3CDTF">2026-10-15T08:14:52Z</dcterms:modified>
</cp:coreProperties>
</file>